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y\Desktop\USACH\Herramientas computacionales II\U1 Entorno de trabajo computacional\Evaluación 1\"/>
    </mc:Choice>
  </mc:AlternateContent>
  <xr:revisionPtr revIDLastSave="0" documentId="13_ncr:1_{B8725740-8A82-4C4E-AE32-0DCCD36405FF}" xr6:coauthVersionLast="47" xr6:coauthVersionMax="47" xr10:uidLastSave="{00000000-0000-0000-0000-000000000000}"/>
  <bookViews>
    <workbookView xWindow="-120" yWindow="-120" windowWidth="20730" windowHeight="11160" xr2:uid="{E586C188-3A7F-4235-B2E3-AC1A25CD5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12" i="1"/>
  <c r="H13" i="1"/>
  <c r="H14" i="1"/>
  <c r="H15" i="1"/>
  <c r="H16" i="1"/>
  <c r="H17" i="1"/>
  <c r="H18" i="1"/>
  <c r="H19" i="1"/>
  <c r="H12" i="1"/>
  <c r="G12" i="1"/>
  <c r="G13" i="1"/>
  <c r="G14" i="1"/>
  <c r="G15" i="1"/>
  <c r="G16" i="1"/>
  <c r="G17" i="1"/>
  <c r="G18" i="1"/>
  <c r="G19" i="1"/>
  <c r="G11" i="1"/>
  <c r="F12" i="1"/>
  <c r="F13" i="1"/>
  <c r="F14" i="1"/>
  <c r="F15" i="1"/>
  <c r="F16" i="1"/>
  <c r="F17" i="1"/>
  <c r="F18" i="1"/>
  <c r="F19" i="1"/>
  <c r="F11" i="1"/>
  <c r="E13" i="1"/>
  <c r="E14" i="1"/>
  <c r="E15" i="1"/>
  <c r="E16" i="1"/>
  <c r="E17" i="1"/>
  <c r="E18" i="1"/>
  <c r="E19" i="1"/>
  <c r="E12" i="1"/>
  <c r="E11" i="1"/>
  <c r="D12" i="1"/>
  <c r="D13" i="1"/>
  <c r="D14" i="1"/>
  <c r="D15" i="1"/>
  <c r="D16" i="1"/>
  <c r="D17" i="1"/>
  <c r="D18" i="1"/>
  <c r="D19" i="1"/>
  <c r="D11" i="1"/>
  <c r="C7" i="1"/>
  <c r="C6" i="1"/>
</calcChain>
</file>

<file path=xl/sharedStrings.xml><?xml version="1.0" encoding="utf-8"?>
<sst xmlns="http://schemas.openxmlformats.org/spreadsheetml/2006/main" count="18" uniqueCount="16">
  <si>
    <t>Módulo elasticidad E</t>
  </si>
  <si>
    <t>Luz                   L</t>
  </si>
  <si>
    <t>Ancho sección            b</t>
  </si>
  <si>
    <t>Altura sección          h</t>
  </si>
  <si>
    <t>Inercia          I</t>
  </si>
  <si>
    <t>[m]</t>
  </si>
  <si>
    <t>[Gpa]</t>
  </si>
  <si>
    <r>
      <t>[M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]</t>
    </r>
  </si>
  <si>
    <t>carga P [kN]</t>
  </si>
  <si>
    <t>carga P [N]</t>
  </si>
  <si>
    <r>
      <t>deflexion</t>
    </r>
    <r>
      <rPr>
        <vertAlign val="subscript"/>
        <sz val="11"/>
        <color theme="1"/>
        <rFont val="Calibri"/>
        <family val="2"/>
        <scheme val="minor"/>
      </rPr>
      <t>medida</t>
    </r>
    <r>
      <rPr>
        <sz val="11"/>
        <color theme="1"/>
        <rFont val="Calibri"/>
        <family val="2"/>
        <scheme val="minor"/>
      </rPr>
      <t xml:space="preserve"> [mm]</t>
    </r>
  </si>
  <si>
    <r>
      <t>deflexion</t>
    </r>
    <r>
      <rPr>
        <vertAlign val="subscript"/>
        <sz val="11"/>
        <color theme="1"/>
        <rFont val="Calibri"/>
        <family val="2"/>
        <scheme val="minor"/>
      </rPr>
      <t>teo</t>
    </r>
    <r>
      <rPr>
        <sz val="11"/>
        <color theme="1"/>
        <rFont val="Calibri"/>
        <family val="2"/>
        <scheme val="minor"/>
      </rPr>
      <t xml:space="preserve"> [mm]</t>
    </r>
  </si>
  <si>
    <t>error relativo [%]</t>
  </si>
  <si>
    <t>diferencia [mm]</t>
  </si>
  <si>
    <r>
      <t>deflexion</t>
    </r>
    <r>
      <rPr>
        <vertAlign val="subscript"/>
        <sz val="11"/>
        <color theme="1"/>
        <rFont val="Calibri"/>
        <family val="2"/>
        <scheme val="minor"/>
      </rPr>
      <t>teo</t>
    </r>
    <r>
      <rPr>
        <sz val="11"/>
        <color theme="1"/>
        <rFont val="Calibri"/>
        <family val="2"/>
        <scheme val="minor"/>
      </rPr>
      <t xml:space="preserve"> [m]</t>
    </r>
  </si>
  <si>
    <t>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</si>
</sst>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1400" b="0" i="0" u="none" strike="noStrike" baseline="0"/>
              <a:t>Comparación Carga vs. Deflexión en el Centro de la Luz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deflexion medida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Hoja1!$B$11:$B$19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Hoja1!$C$11:$C$19</c:f>
              <c:numCache>
                <c:formatCode>0.00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80-4231-8C05-FE11952A1942}"/>
            </c:ext>
          </c:extLst>
        </c:ser>
        <c:ser>
          <c:idx val="1"/>
          <c:order val="1"/>
          <c:tx>
            <c:v>deflexion teorica</c:v>
          </c:tx>
          <c:spPr>
            <a:ln w="19050" cap="rnd">
              <a:gradFill flip="none" rotWithShape="1">
                <a:gsLst>
                  <a:gs pos="0">
                    <a:schemeClr val="accent2">
                      <a:lumMod val="89000"/>
                    </a:schemeClr>
                  </a:gs>
                  <a:gs pos="23000">
                    <a:schemeClr val="accent2">
                      <a:lumMod val="89000"/>
                    </a:schemeClr>
                  </a:gs>
                  <a:gs pos="69000">
                    <a:schemeClr val="accent2">
                      <a:lumMod val="75000"/>
                    </a:schemeClr>
                  </a:gs>
                  <a:gs pos="97000">
                    <a:schemeClr val="accent2">
                      <a:lumMod val="7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round/>
            </a:ln>
            <a:effectLst/>
          </c:spPr>
          <c:marker>
            <c:symbol val="none"/>
          </c:marker>
          <c:xVal>
            <c:numRef>
              <c:f>Hoja1!$B$11:$B$19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Hoja1!$F$11:$F$19</c:f>
              <c:numCache>
                <c:formatCode>General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0.75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1.5</c:v>
                </c:pt>
                <c:pt idx="7">
                  <c:v>1.7499999999999996</c:v>
                </c:pt>
                <c:pt idx="8" formatCode="0.00">
                  <c:v>1.9999999999999996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80-4231-8C05-FE11952A1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451647"/>
        <c:axId val="990446655"/>
      </c:scatterChart>
      <c:valAx>
        <c:axId val="99045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baseline="0"/>
                  <a:t>Carga P [kN]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0446655"/>
        <c:crosses val="autoZero"/>
        <c:crossBetween val="midCat"/>
      </c:valAx>
      <c:valAx>
        <c:axId val="99044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 sz="1000" b="0" i="0" u="none" strike="noStrike" baseline="0"/>
                  <a:t>Deflexión en el centro [mm]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90451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771524</xdr:colOff>
      <xdr:row>19</xdr:row>
      <xdr:rowOff>166687</xdr:rowOff>
    </xdr:from>
    <xdr:to>
      <xdr:col>7</xdr:col>
      <xdr:colOff>695324</xdr:colOff>
      <xdr:row>35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C808B2-16EE-425A-8333-96F036B07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6AA0-6E2E-4D44-8E5D-4B6ADBDF6954}">
  <dimension ref="B3:I22"/>
  <sheetViews>
    <sheetView tabSelected="1" topLeftCell="A17" workbookViewId="0">
      <selection activeCell="H37" sqref="H37"/>
    </sheetView>
  </sheetViews>
  <sheetFormatPr baseColWidth="10" defaultRowHeight="15" x14ac:dyDescent="0.25"/>
  <cols>
    <col min="2" max="2" width="12.28515625" customWidth="1"/>
    <col min="3" max="3" width="20.140625" customWidth="1"/>
    <col min="4" max="4" width="12.140625" customWidth="1"/>
    <col min="5" max="5" width="16.42578125" customWidth="1"/>
    <col min="6" max="6" width="17" customWidth="1"/>
    <col min="7" max="7" width="17.28515625" customWidth="1"/>
    <col min="8" max="8" width="17.7109375" customWidth="1"/>
    <col min="9" max="9" width="12.140625" customWidth="1"/>
  </cols>
  <sheetData>
    <row r="3" spans="2:9" ht="30" x14ac:dyDescent="0.25">
      <c r="B3" s="2" t="s">
        <v>1</v>
      </c>
      <c r="C3" s="4">
        <v>4</v>
      </c>
      <c r="D3" s="4" t="s">
        <v>5</v>
      </c>
    </row>
    <row r="4" spans="2:9" ht="45" x14ac:dyDescent="0.25">
      <c r="B4" s="2" t="s">
        <v>2</v>
      </c>
      <c r="C4" s="4">
        <v>0.2</v>
      </c>
      <c r="D4" s="4" t="s">
        <v>5</v>
      </c>
    </row>
    <row r="5" spans="2:9" ht="45" x14ac:dyDescent="0.25">
      <c r="B5" s="2" t="s">
        <v>3</v>
      </c>
      <c r="C5" s="4">
        <v>0.4</v>
      </c>
      <c r="D5" s="4" t="s">
        <v>5</v>
      </c>
    </row>
    <row r="6" spans="2:9" ht="45" x14ac:dyDescent="0.25">
      <c r="B6" s="2" t="s">
        <v>0</v>
      </c>
      <c r="C6" s="5">
        <f>25*1000000000</f>
        <v>25000000000</v>
      </c>
      <c r="D6" s="4" t="s">
        <v>6</v>
      </c>
    </row>
    <row r="7" spans="2:9" ht="30" x14ac:dyDescent="0.25">
      <c r="B7" s="2" t="s">
        <v>4</v>
      </c>
      <c r="C7" s="4">
        <f>+(C4*(C5^3))/12</f>
        <v>1.0666666666666669E-3</v>
      </c>
      <c r="D7" s="4" t="s">
        <v>7</v>
      </c>
    </row>
    <row r="8" spans="2:9" x14ac:dyDescent="0.25">
      <c r="B8" s="1"/>
    </row>
    <row r="9" spans="2:9" x14ac:dyDescent="0.25">
      <c r="B9" s="1"/>
    </row>
    <row r="10" spans="2:9" ht="18" x14ac:dyDescent="0.35">
      <c r="B10" s="2" t="s">
        <v>8</v>
      </c>
      <c r="C10" s="6" t="s">
        <v>10</v>
      </c>
      <c r="D10" s="6" t="s">
        <v>9</v>
      </c>
      <c r="E10" s="6" t="s">
        <v>14</v>
      </c>
      <c r="F10" s="6" t="s">
        <v>11</v>
      </c>
      <c r="G10" s="6" t="s">
        <v>13</v>
      </c>
      <c r="H10" s="6" t="s">
        <v>12</v>
      </c>
      <c r="I10" s="6" t="s">
        <v>15</v>
      </c>
    </row>
    <row r="11" spans="2:9" x14ac:dyDescent="0.25">
      <c r="B11" s="2">
        <v>0</v>
      </c>
      <c r="C11" s="7">
        <v>0</v>
      </c>
      <c r="D11" s="6">
        <f>+B11*1000</f>
        <v>0</v>
      </c>
      <c r="E11" s="6">
        <f>+(D11*($C$3^3))/(48*$C$6*$C$7)</f>
        <v>0</v>
      </c>
      <c r="F11" s="6">
        <f>+E11*100*10</f>
        <v>0</v>
      </c>
      <c r="G11" s="6">
        <f>+ABS(C11-F11)</f>
        <v>0</v>
      </c>
      <c r="H11" s="8">
        <v>0</v>
      </c>
      <c r="I11" s="9">
        <v>0</v>
      </c>
    </row>
    <row r="12" spans="2:9" x14ac:dyDescent="0.25">
      <c r="B12" s="6">
        <v>5</v>
      </c>
      <c r="C12" s="7">
        <v>0.26</v>
      </c>
      <c r="D12" s="6">
        <f t="shared" ref="D12:D19" si="0">+B12*1000</f>
        <v>5000</v>
      </c>
      <c r="E12" s="6">
        <f>+(D12*($C$3^3))/(48*$C$6*$C$7)</f>
        <v>2.4999999999999995E-4</v>
      </c>
      <c r="F12" s="6">
        <f t="shared" ref="F12:F19" si="1">+E12*100*10</f>
        <v>0.24999999999999994</v>
      </c>
      <c r="G12" s="6">
        <f t="shared" ref="G12:G19" si="2">+ABS(C12-F12)</f>
        <v>1.0000000000000064E-2</v>
      </c>
      <c r="H12" s="10">
        <f>+(ABS(C12-F12)/F12)*100%</f>
        <v>4.0000000000000265E-2</v>
      </c>
      <c r="I12" s="9">
        <f>+F12/B12</f>
        <v>4.9999999999999989E-2</v>
      </c>
    </row>
    <row r="13" spans="2:9" x14ac:dyDescent="0.25">
      <c r="B13" s="6">
        <v>10</v>
      </c>
      <c r="C13" s="7">
        <v>0.5</v>
      </c>
      <c r="D13" s="6">
        <f t="shared" si="0"/>
        <v>10000</v>
      </c>
      <c r="E13" s="6">
        <f t="shared" ref="E13:E19" si="3">+(D13*($C$3^3))/(48*$C$6*$C$7)</f>
        <v>4.999999999999999E-4</v>
      </c>
      <c r="F13" s="6">
        <f t="shared" si="1"/>
        <v>0.49999999999999989</v>
      </c>
      <c r="G13" s="6">
        <f t="shared" si="2"/>
        <v>1.1102230246251565E-16</v>
      </c>
      <c r="H13" s="10">
        <f t="shared" ref="H13:H19" si="4">+(ABS(C13-F13)/F13)*100%</f>
        <v>2.2204460492503136E-16</v>
      </c>
      <c r="I13" s="9">
        <f t="shared" ref="I13:I19" si="5">+F13/B13</f>
        <v>4.9999999999999989E-2</v>
      </c>
    </row>
    <row r="14" spans="2:9" x14ac:dyDescent="0.25">
      <c r="B14" s="6">
        <v>15</v>
      </c>
      <c r="C14" s="7">
        <v>0.76</v>
      </c>
      <c r="D14" s="6">
        <f t="shared" si="0"/>
        <v>15000</v>
      </c>
      <c r="E14" s="6">
        <f t="shared" si="3"/>
        <v>7.4999999999999991E-4</v>
      </c>
      <c r="F14" s="6">
        <f t="shared" si="1"/>
        <v>0.75</v>
      </c>
      <c r="G14" s="6">
        <f t="shared" si="2"/>
        <v>1.0000000000000009E-2</v>
      </c>
      <c r="H14" s="10">
        <f t="shared" si="4"/>
        <v>1.3333333333333345E-2</v>
      </c>
      <c r="I14" s="9">
        <f t="shared" si="5"/>
        <v>0.05</v>
      </c>
    </row>
    <row r="15" spans="2:9" x14ac:dyDescent="0.25">
      <c r="B15" s="6">
        <v>20</v>
      </c>
      <c r="C15" s="7">
        <v>1.01</v>
      </c>
      <c r="D15" s="6">
        <f t="shared" si="0"/>
        <v>20000</v>
      </c>
      <c r="E15" s="6">
        <f t="shared" si="3"/>
        <v>9.999999999999998E-4</v>
      </c>
      <c r="F15" s="6">
        <f t="shared" si="1"/>
        <v>0.99999999999999978</v>
      </c>
      <c r="G15" s="6">
        <f t="shared" si="2"/>
        <v>1.0000000000000231E-2</v>
      </c>
      <c r="H15" s="10">
        <f t="shared" si="4"/>
        <v>1.0000000000000233E-2</v>
      </c>
      <c r="I15" s="9">
        <f t="shared" si="5"/>
        <v>4.9999999999999989E-2</v>
      </c>
    </row>
    <row r="16" spans="2:9" x14ac:dyDescent="0.25">
      <c r="B16" s="6">
        <v>25</v>
      </c>
      <c r="C16" s="7">
        <v>1.28</v>
      </c>
      <c r="D16" s="6">
        <f t="shared" si="0"/>
        <v>25000</v>
      </c>
      <c r="E16" s="6">
        <f t="shared" si="3"/>
        <v>1.2499999999999998E-3</v>
      </c>
      <c r="F16" s="6">
        <f t="shared" si="1"/>
        <v>1.2499999999999998</v>
      </c>
      <c r="G16" s="6">
        <f t="shared" si="2"/>
        <v>3.0000000000000249E-2</v>
      </c>
      <c r="H16" s="10">
        <f t="shared" si="4"/>
        <v>2.4000000000000202E-2</v>
      </c>
      <c r="I16" s="9">
        <f t="shared" si="5"/>
        <v>4.9999999999999989E-2</v>
      </c>
    </row>
    <row r="17" spans="2:9" x14ac:dyDescent="0.25">
      <c r="B17" s="6">
        <v>30</v>
      </c>
      <c r="C17" s="7">
        <v>1.54</v>
      </c>
      <c r="D17" s="6">
        <f t="shared" si="0"/>
        <v>30000</v>
      </c>
      <c r="E17" s="6">
        <f t="shared" si="3"/>
        <v>1.4999999999999998E-3</v>
      </c>
      <c r="F17" s="6">
        <f t="shared" si="1"/>
        <v>1.5</v>
      </c>
      <c r="G17" s="6">
        <f t="shared" si="2"/>
        <v>4.0000000000000036E-2</v>
      </c>
      <c r="H17" s="10">
        <f t="shared" si="4"/>
        <v>2.6666666666666689E-2</v>
      </c>
      <c r="I17" s="9">
        <f t="shared" si="5"/>
        <v>0.05</v>
      </c>
    </row>
    <row r="18" spans="2:9" x14ac:dyDescent="0.25">
      <c r="B18" s="6">
        <v>35</v>
      </c>
      <c r="C18" s="7">
        <v>1.77</v>
      </c>
      <c r="D18" s="6">
        <f t="shared" si="0"/>
        <v>35000</v>
      </c>
      <c r="E18" s="6">
        <f t="shared" si="3"/>
        <v>1.7499999999999996E-3</v>
      </c>
      <c r="F18" s="6">
        <f t="shared" si="1"/>
        <v>1.7499999999999996</v>
      </c>
      <c r="G18" s="6">
        <f t="shared" si="2"/>
        <v>2.0000000000000462E-2</v>
      </c>
      <c r="H18" s="10">
        <f t="shared" si="4"/>
        <v>1.1428571428571696E-2</v>
      </c>
      <c r="I18" s="9">
        <f t="shared" si="5"/>
        <v>4.9999999999999989E-2</v>
      </c>
    </row>
    <row r="19" spans="2:9" x14ac:dyDescent="0.25">
      <c r="B19" s="6">
        <v>40</v>
      </c>
      <c r="C19" s="7">
        <v>2.0499999999999998</v>
      </c>
      <c r="D19" s="6">
        <f t="shared" si="0"/>
        <v>40000</v>
      </c>
      <c r="E19" s="6">
        <f t="shared" si="3"/>
        <v>1.9999999999999996E-3</v>
      </c>
      <c r="F19" s="7">
        <f t="shared" si="1"/>
        <v>1.9999999999999996</v>
      </c>
      <c r="G19" s="6">
        <f t="shared" si="2"/>
        <v>5.0000000000000266E-2</v>
      </c>
      <c r="H19" s="10">
        <f t="shared" si="4"/>
        <v>2.500000000000014E-2</v>
      </c>
      <c r="I19" s="9">
        <f t="shared" si="5"/>
        <v>4.9999999999999989E-2</v>
      </c>
    </row>
    <row r="20" spans="2:9" x14ac:dyDescent="0.25">
      <c r="B20" s="3"/>
      <c r="C20" s="3"/>
      <c r="D20" s="3"/>
      <c r="E20" s="3"/>
      <c r="F20" s="3"/>
      <c r="G20" s="3"/>
      <c r="H20" s="3"/>
      <c r="I20" s="3"/>
    </row>
    <row r="21" spans="2:9" x14ac:dyDescent="0.25">
      <c r="B21" s="3"/>
      <c r="C21" s="3"/>
      <c r="D21" s="3"/>
      <c r="E21" s="3"/>
      <c r="F21" s="3"/>
      <c r="G21" s="3"/>
      <c r="H21" s="3"/>
      <c r="I21" s="3"/>
    </row>
    <row r="22" spans="2:9" x14ac:dyDescent="0.25">
      <c r="B22" s="3"/>
      <c r="C22" s="3"/>
      <c r="D22" s="3"/>
      <c r="E22" s="3"/>
      <c r="F22" s="3"/>
      <c r="G22" s="3"/>
      <c r="H22" s="3"/>
      <c r="I22" s="3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Jeremmy Contreras perez</dc:creator>
  <cp:lastModifiedBy>Jeremmy Contreras perez</cp:lastModifiedBy>
  <dcterms:created xsi:type="dcterms:W3CDTF">2026-10-02T21:11:09Z</dcterms:created>
  <dcterms:modified xsi:type="dcterms:W3CDTF">2026-10-02T22:14:15Z</dcterms:modified>
</cp:coreProperties>
</file>